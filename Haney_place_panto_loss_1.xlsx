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tang\Desktop\Energy Model\on_route_charge_dispenser\"/>
    </mc:Choice>
  </mc:AlternateContent>
  <xr:revisionPtr revIDLastSave="0" documentId="13_ncr:1_{10CD7ECB-DE66-47D2-9034-3280D2D3F4FD}" xr6:coauthVersionLast="47" xr6:coauthVersionMax="47" xr10:uidLastSave="{00000000-0000-0000-0000-000000000000}"/>
  <bookViews>
    <workbookView xWindow="-110" yWindow="-110" windowWidth="22780" windowHeight="14660" xr2:uid="{BE14124E-7993-4985-A3E7-597B2B806083}"/>
  </bookViews>
  <sheets>
    <sheet name="Haney Loop Strateg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" l="1"/>
  <c r="M5" i="2"/>
  <c r="M3" i="2"/>
  <c r="L7" i="2"/>
  <c r="L5" i="2"/>
  <c r="L3" i="2"/>
  <c r="K7" i="2"/>
  <c r="K5" i="2"/>
  <c r="K3" i="2"/>
  <c r="J7" i="2"/>
  <c r="J5" i="2"/>
  <c r="J3" i="2"/>
  <c r="I7" i="2"/>
  <c r="I5" i="2"/>
  <c r="I3" i="2"/>
  <c r="H7" i="2"/>
  <c r="H5" i="2"/>
  <c r="H3" i="2"/>
  <c r="G7" i="2"/>
  <c r="G5" i="2"/>
  <c r="G3" i="2"/>
  <c r="E7" i="2"/>
  <c r="E5" i="2"/>
  <c r="E3" i="2"/>
</calcChain>
</file>

<file path=xl/sharedStrings.xml><?xml version="1.0" encoding="utf-8"?>
<sst xmlns="http://schemas.openxmlformats.org/spreadsheetml/2006/main" count="75" uniqueCount="46">
  <si>
    <t>Haney Place</t>
  </si>
  <si>
    <t>Haney Place + Brentwood Station</t>
  </si>
  <si>
    <t>Haney Place + New Westminster Station</t>
  </si>
  <si>
    <t>cumulative blocks influenced (heavy duty)</t>
  </si>
  <si>
    <t>Haney Place + Port Coquitlam Station</t>
  </si>
  <si>
    <t>On route charge location missing (under risk)</t>
  </si>
  <si>
    <t>Haney Place + Brentwood Station + New Westminster Station</t>
  </si>
  <si>
    <t>Haney Place + Brentwood Station + Port Coquitlam Station</t>
  </si>
  <si>
    <t>Haney Place + New Westminster Station + Port Coquitlam Station</t>
  </si>
  <si>
    <t>depot level break down</t>
  </si>
  <si>
    <t>PTC: 3</t>
  </si>
  <si>
    <t>PTC: 27</t>
  </si>
  <si>
    <t>HTC: 5; BTC:5; PTC:3; VTC:12</t>
  </si>
  <si>
    <t>HTC: 9; PTC: 3</t>
  </si>
  <si>
    <t>HTC: 23; BTC:5; PTC:3; VTC:12</t>
  </si>
  <si>
    <t>HTC: 5; BTC:5; PTC:27; VTC:12</t>
  </si>
  <si>
    <t>HTC: 9; PTC: 27</t>
  </si>
  <si>
    <t>Option</t>
  </si>
  <si>
    <t>Group</t>
  </si>
  <si>
    <t>Dimension</t>
  </si>
  <si>
    <t>Description</t>
  </si>
  <si>
    <t xml:space="preserve">Maple Ridge Parking Lot </t>
  </si>
  <si>
    <t>Haney - Bus Loop Island</t>
  </si>
  <si>
    <t>General Alternate Location</t>
  </si>
  <si>
    <t>PoCo Station</t>
  </si>
  <si>
    <t>Kootenay Loop</t>
  </si>
  <si>
    <t>Moody Centre Station</t>
  </si>
  <si>
    <t>Burquitlam Station</t>
  </si>
  <si>
    <t>New Westminster Station</t>
  </si>
  <si>
    <t>Brentwood Station</t>
  </si>
  <si>
    <t>Coquitlam Central Station</t>
  </si>
  <si>
    <t>Marpole Loop</t>
  </si>
  <si>
    <t>Descope Haney from Project</t>
  </si>
  <si>
    <t>N/A</t>
  </si>
  <si>
    <t>blocks</t>
  </si>
  <si>
    <t>success rate</t>
  </si>
  <si>
    <t>service distance</t>
  </si>
  <si>
    <t>Base Line 1 (22nd Street + Marpole Loop)</t>
  </si>
  <si>
    <t>LCFP
(Program Criteria)</t>
  </si>
  <si>
    <t>Net system impact: Depot + On-Route Charging Success Rate Increase (%)</t>
  </si>
  <si>
    <t>Net system impact: Unique Block IDs Unlocked for Electrification-Depot + On-Route Charging</t>
  </si>
  <si>
    <t>Net system impact: Mileage Extension by BEB Net Increase (km)-Depot + On-Route Charging</t>
  </si>
  <si>
    <t>Single site impact: Depot + On-Route Charging Success Rate Increase (%)</t>
  </si>
  <si>
    <t>Single site impact: Mileage Extension by BEB Net Increase (km)-Depot + On-Route Charging</t>
  </si>
  <si>
    <t>Single site impact: Unique Block IDs Unlocked for Electrification-Depot + Single Site On-Route Charging</t>
  </si>
  <si>
    <t>Number of Unique Blocks served by 40 foot bus (trolley excluded; service day: 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</si>
</sst>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14" xfId="0" applyFill="1" applyBorder="1" applyAlignment="1">
      <alignment horizontal="left" wrapText="1"/>
    </xf>
    <xf numFmtId="0" fontId="0" fillId="0" borderId="15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/>
    </xf>
    <xf numFmtId="10" fontId="0" fillId="0" borderId="8" xfId="1" applyNumberFormat="1" applyFont="1" applyBorder="1" applyAlignment="1">
      <alignment horizontal="left"/>
    </xf>
    <xf numFmtId="172" fontId="2" fillId="0" borderId="16" xfId="0" applyNumberFormat="1" applyFont="1" applyBorder="1" applyAlignment="1">
      <alignment horizontal="center" vertical="center" wrapText="1"/>
    </xf>
    <xf numFmtId="172" fontId="4" fillId="0" borderId="16" xfId="0" applyNumberFormat="1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72" fontId="4" fillId="0" borderId="17" xfId="0" applyNumberFormat="1" applyFont="1" applyBorder="1" applyAlignment="1">
      <alignment horizontal="center" vertical="center" wrapText="1"/>
    </xf>
    <xf numFmtId="172" fontId="2" fillId="0" borderId="17" xfId="0" applyNumberFormat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2" fontId="4" fillId="0" borderId="1" xfId="0" applyNumberFormat="1" applyFont="1" applyBorder="1" applyAlignment="1">
      <alignment horizontal="center" vertical="center" wrapText="1"/>
    </xf>
    <xf numFmtId="172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0" fillId="0" borderId="0" xfId="0" applyFont="1"/>
    <xf numFmtId="10" fontId="4" fillId="0" borderId="16" xfId="0" applyNumberFormat="1" applyFont="1" applyBorder="1" applyAlignment="1">
      <alignment horizontal="center" vertical="center" wrapText="1"/>
    </xf>
    <xf numFmtId="10" fontId="4" fillId="0" borderId="11" xfId="0" applyNumberFormat="1" applyFont="1" applyBorder="1" applyAlignment="1">
      <alignment horizontal="center" vertical="center" wrapText="1"/>
    </xf>
    <xf numFmtId="172" fontId="5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51CB-23C8-41B4-81CA-EA43B3400958}">
  <dimension ref="A1:P18"/>
  <sheetViews>
    <sheetView tabSelected="1" workbookViewId="0">
      <pane ySplit="1" topLeftCell="A8" activePane="bottomLeft" state="frozen"/>
      <selection pane="bottomLeft" activeCell="C10" sqref="C10:C11"/>
    </sheetView>
  </sheetViews>
  <sheetFormatPr defaultColWidth="23.26953125" defaultRowHeight="14.5" x14ac:dyDescent="0.35"/>
  <sheetData>
    <row r="1" spans="1:16" ht="18.5" x14ac:dyDescent="0.35">
      <c r="A1" s="18"/>
      <c r="B1" s="19"/>
      <c r="C1" s="19" t="s">
        <v>17</v>
      </c>
      <c r="D1" s="20">
        <v>1</v>
      </c>
      <c r="E1" s="20">
        <v>2</v>
      </c>
      <c r="F1" s="20">
        <v>3.1</v>
      </c>
      <c r="G1" s="20">
        <v>3.2</v>
      </c>
      <c r="H1" s="20">
        <v>3.3</v>
      </c>
      <c r="I1" s="20">
        <v>3.4</v>
      </c>
      <c r="J1" s="20">
        <v>3.5</v>
      </c>
      <c r="K1" s="20">
        <v>3.6</v>
      </c>
      <c r="L1" s="20">
        <v>3.7</v>
      </c>
      <c r="M1" s="20">
        <v>3.8</v>
      </c>
      <c r="N1" s="20">
        <v>3.9</v>
      </c>
      <c r="O1" s="35"/>
      <c r="P1" s="20">
        <v>4</v>
      </c>
    </row>
    <row r="2" spans="1:16" ht="29" x14ac:dyDescent="0.35">
      <c r="A2" s="19" t="s">
        <v>18</v>
      </c>
      <c r="B2" s="21" t="s">
        <v>19</v>
      </c>
      <c r="C2" s="21" t="s">
        <v>20</v>
      </c>
      <c r="D2" s="22" t="s">
        <v>21</v>
      </c>
      <c r="E2" s="22" t="s">
        <v>22</v>
      </c>
      <c r="F2" s="22" t="s">
        <v>23</v>
      </c>
      <c r="G2" s="22" t="s">
        <v>24</v>
      </c>
      <c r="H2" s="22" t="s">
        <v>25</v>
      </c>
      <c r="I2" s="22" t="s">
        <v>26</v>
      </c>
      <c r="J2" s="22" t="s">
        <v>27</v>
      </c>
      <c r="K2" s="22" t="s">
        <v>28</v>
      </c>
      <c r="L2" s="22" t="s">
        <v>29</v>
      </c>
      <c r="M2" s="22" t="s">
        <v>30</v>
      </c>
      <c r="N2" s="22" t="s">
        <v>31</v>
      </c>
      <c r="O2" s="18"/>
      <c r="P2" s="23" t="s">
        <v>32</v>
      </c>
    </row>
    <row r="3" spans="1:16" ht="72.5" customHeight="1" x14ac:dyDescent="0.35">
      <c r="A3" s="24"/>
      <c r="B3" s="33" t="s">
        <v>38</v>
      </c>
      <c r="C3" s="45" t="s">
        <v>40</v>
      </c>
      <c r="D3" s="25" t="s">
        <v>33</v>
      </c>
      <c r="E3" s="26">
        <f>973-B18</f>
        <v>85</v>
      </c>
      <c r="F3" s="25" t="s">
        <v>33</v>
      </c>
      <c r="G3" s="26">
        <f>970-B18</f>
        <v>82</v>
      </c>
      <c r="H3" s="26">
        <f>1018-B18</f>
        <v>130</v>
      </c>
      <c r="I3" s="26">
        <f>970-B18</f>
        <v>82</v>
      </c>
      <c r="J3" s="26">
        <f>970-B18</f>
        <v>82</v>
      </c>
      <c r="K3" s="26">
        <f>1003-B18</f>
        <v>115</v>
      </c>
      <c r="L3" s="26">
        <f>1001-B18</f>
        <v>113</v>
      </c>
      <c r="M3" s="26">
        <f>970-B18</f>
        <v>82</v>
      </c>
      <c r="N3" s="25" t="s">
        <v>33</v>
      </c>
      <c r="O3" s="36"/>
      <c r="P3" s="28" t="s">
        <v>33</v>
      </c>
    </row>
    <row r="4" spans="1:16" ht="61" customHeight="1" x14ac:dyDescent="0.35">
      <c r="A4" s="29"/>
      <c r="B4" s="34"/>
      <c r="C4" s="46"/>
      <c r="D4" s="30"/>
      <c r="E4" s="31"/>
      <c r="F4" s="30"/>
      <c r="G4" s="31"/>
      <c r="H4" s="31"/>
      <c r="I4" s="31"/>
      <c r="J4" s="31"/>
      <c r="K4" s="31"/>
      <c r="L4" s="31"/>
      <c r="M4" s="31"/>
      <c r="N4" s="30"/>
      <c r="O4" s="36"/>
      <c r="P4" s="32"/>
    </row>
    <row r="5" spans="1:16" ht="29" customHeight="1" x14ac:dyDescent="0.35">
      <c r="A5" s="24"/>
      <c r="B5" s="33" t="s">
        <v>38</v>
      </c>
      <c r="C5" s="45" t="s">
        <v>39</v>
      </c>
      <c r="D5" s="25" t="s">
        <v>33</v>
      </c>
      <c r="E5" s="65">
        <f>0.419-C18</f>
        <v>3.6599999999999966E-2</v>
      </c>
      <c r="F5" s="25" t="s">
        <v>33</v>
      </c>
      <c r="G5" s="65">
        <f>0.4177-C18</f>
        <v>3.5299999999999998E-2</v>
      </c>
      <c r="H5" s="65">
        <f>0.4384-C18</f>
        <v>5.5999999999999994E-2</v>
      </c>
      <c r="I5" s="65">
        <f>0.4177-C18</f>
        <v>3.5299999999999998E-2</v>
      </c>
      <c r="J5" s="65">
        <f>0.4177-C18</f>
        <v>3.5299999999999998E-2</v>
      </c>
      <c r="K5" s="65">
        <f>0.432-C18</f>
        <v>4.9599999999999977E-2</v>
      </c>
      <c r="L5" s="65">
        <f>0.4311-C18</f>
        <v>4.8699999999999966E-2</v>
      </c>
      <c r="M5" s="65">
        <f>0.4177-C18</f>
        <v>3.5299999999999998E-2</v>
      </c>
      <c r="N5" s="25" t="s">
        <v>33</v>
      </c>
      <c r="O5" s="36"/>
      <c r="P5" s="28" t="s">
        <v>33</v>
      </c>
    </row>
    <row r="6" spans="1:16" s="64" customFormat="1" ht="124" customHeight="1" x14ac:dyDescent="0.35">
      <c r="A6" s="29"/>
      <c r="B6" s="34"/>
      <c r="C6" s="46"/>
      <c r="D6" s="30"/>
      <c r="E6" s="66"/>
      <c r="F6" s="30"/>
      <c r="G6" s="66"/>
      <c r="H6" s="66"/>
      <c r="I6" s="66"/>
      <c r="J6" s="66"/>
      <c r="K6" s="66"/>
      <c r="L6" s="66"/>
      <c r="M6" s="66"/>
      <c r="N6" s="30"/>
      <c r="O6" s="36"/>
      <c r="P6" s="32"/>
    </row>
    <row r="7" spans="1:16" ht="14.5" customHeight="1" x14ac:dyDescent="0.35">
      <c r="A7" s="24"/>
      <c r="B7" s="33" t="s">
        <v>38</v>
      </c>
      <c r="C7" s="45" t="s">
        <v>41</v>
      </c>
      <c r="D7" s="25" t="s">
        <v>33</v>
      </c>
      <c r="E7" s="44">
        <f>123558.2-D18</f>
        <v>26248</v>
      </c>
      <c r="F7" s="43" t="s">
        <v>33</v>
      </c>
      <c r="G7" s="44">
        <f>122474.6-D18</f>
        <v>25164.400000000009</v>
      </c>
      <c r="H7" s="44">
        <f>134572.1-D18</f>
        <v>37261.900000000009</v>
      </c>
      <c r="I7" s="44">
        <f>122474.6-D18</f>
        <v>25164.400000000009</v>
      </c>
      <c r="J7" s="44">
        <f>122474.6-D18</f>
        <v>25164.400000000009</v>
      </c>
      <c r="K7" s="44">
        <f>129687-D18</f>
        <v>32376.800000000003</v>
      </c>
      <c r="L7" s="44">
        <f>130251.4-D18</f>
        <v>32941.199999999997</v>
      </c>
      <c r="M7" s="44">
        <f>122474.6-D18</f>
        <v>25164.400000000009</v>
      </c>
      <c r="N7" s="25" t="s">
        <v>33</v>
      </c>
      <c r="O7" s="36"/>
      <c r="P7" s="28" t="s">
        <v>33</v>
      </c>
    </row>
    <row r="8" spans="1:16" ht="112" customHeight="1" x14ac:dyDescent="0.35">
      <c r="A8" s="27"/>
      <c r="B8" s="47"/>
      <c r="C8" s="53"/>
      <c r="D8" s="48"/>
      <c r="E8" s="49"/>
      <c r="F8" s="50"/>
      <c r="G8" s="49"/>
      <c r="H8" s="49"/>
      <c r="I8" s="49"/>
      <c r="J8" s="49"/>
      <c r="K8" s="49"/>
      <c r="L8" s="49"/>
      <c r="M8" s="49"/>
      <c r="N8" s="48"/>
      <c r="O8" s="36"/>
      <c r="P8" s="32"/>
    </row>
    <row r="9" spans="1:16" ht="117" customHeight="1" x14ac:dyDescent="0.35">
      <c r="A9" s="1"/>
      <c r="B9" s="51" t="s">
        <v>38</v>
      </c>
      <c r="C9" s="52" t="s">
        <v>45</v>
      </c>
      <c r="D9" s="54" t="s">
        <v>33</v>
      </c>
      <c r="E9" s="54">
        <v>29</v>
      </c>
      <c r="F9" s="54" t="s">
        <v>33</v>
      </c>
      <c r="G9" s="54">
        <v>35</v>
      </c>
      <c r="H9" s="54">
        <v>87</v>
      </c>
      <c r="I9" s="54">
        <v>40</v>
      </c>
      <c r="J9" s="54">
        <v>16</v>
      </c>
      <c r="K9" s="54">
        <v>37</v>
      </c>
      <c r="L9" s="54">
        <v>43</v>
      </c>
      <c r="M9" s="54">
        <v>99</v>
      </c>
      <c r="N9" s="54">
        <v>33</v>
      </c>
      <c r="O9" s="54"/>
      <c r="P9" s="70" t="s">
        <v>33</v>
      </c>
    </row>
    <row r="10" spans="1:16" ht="72.5" customHeight="1" x14ac:dyDescent="0.35">
      <c r="A10" s="55"/>
      <c r="B10" s="56" t="s">
        <v>38</v>
      </c>
      <c r="C10" s="57" t="s">
        <v>44</v>
      </c>
      <c r="D10" s="37" t="s">
        <v>33</v>
      </c>
      <c r="E10" s="62">
        <v>4</v>
      </c>
      <c r="F10" s="37" t="s">
        <v>33</v>
      </c>
      <c r="G10" s="62">
        <v>8</v>
      </c>
      <c r="H10" s="58">
        <v>29</v>
      </c>
      <c r="I10" s="58">
        <v>2</v>
      </c>
      <c r="J10" s="58">
        <v>5</v>
      </c>
      <c r="K10" s="58">
        <v>33</v>
      </c>
      <c r="L10" s="58">
        <v>27</v>
      </c>
      <c r="M10" s="58">
        <v>38</v>
      </c>
      <c r="N10" s="37">
        <v>13</v>
      </c>
      <c r="O10" s="55"/>
      <c r="P10" s="59" t="s">
        <v>33</v>
      </c>
    </row>
    <row r="11" spans="1:16" ht="61" customHeight="1" x14ac:dyDescent="0.35">
      <c r="A11" s="55"/>
      <c r="B11" s="56"/>
      <c r="C11" s="57"/>
      <c r="D11" s="37"/>
      <c r="E11" s="62"/>
      <c r="F11" s="37"/>
      <c r="G11" s="62"/>
      <c r="H11" s="58"/>
      <c r="I11" s="58"/>
      <c r="J11" s="58"/>
      <c r="K11" s="58"/>
      <c r="L11" s="58"/>
      <c r="M11" s="58"/>
      <c r="N11" s="37"/>
      <c r="O11" s="55"/>
      <c r="P11" s="59"/>
    </row>
    <row r="12" spans="1:16" ht="29" customHeight="1" x14ac:dyDescent="0.35">
      <c r="A12" s="55"/>
      <c r="B12" s="56" t="s">
        <v>38</v>
      </c>
      <c r="C12" s="57" t="s">
        <v>42</v>
      </c>
      <c r="D12" s="37" t="s">
        <v>33</v>
      </c>
      <c r="E12" s="63">
        <v>1.6999999999999999E-3</v>
      </c>
      <c r="F12" s="37" t="s">
        <v>33</v>
      </c>
      <c r="G12" s="63">
        <v>3.3999999999999998E-3</v>
      </c>
      <c r="H12" s="68">
        <v>1.2500000000000001E-2</v>
      </c>
      <c r="I12" s="68">
        <v>8.9999999999999998E-4</v>
      </c>
      <c r="J12" s="68">
        <v>2.2000000000000001E-3</v>
      </c>
      <c r="K12" s="68">
        <v>1.4200000000000001E-2</v>
      </c>
      <c r="L12" s="68">
        <v>1.1599999999999999E-2</v>
      </c>
      <c r="M12" s="68">
        <v>1.6500000000000001E-2</v>
      </c>
      <c r="N12" s="69">
        <v>5.5999999999999999E-3</v>
      </c>
      <c r="O12" s="55"/>
      <c r="P12" s="59" t="s">
        <v>33</v>
      </c>
    </row>
    <row r="13" spans="1:16" ht="124" customHeight="1" x14ac:dyDescent="0.35">
      <c r="A13" s="55"/>
      <c r="B13" s="56"/>
      <c r="C13" s="57"/>
      <c r="D13" s="37"/>
      <c r="E13" s="63"/>
      <c r="F13" s="37"/>
      <c r="G13" s="63"/>
      <c r="H13" s="68"/>
      <c r="I13" s="68"/>
      <c r="J13" s="68"/>
      <c r="K13" s="68"/>
      <c r="L13" s="68"/>
      <c r="M13" s="68"/>
      <c r="N13" s="37"/>
      <c r="O13" s="55"/>
      <c r="P13" s="59"/>
    </row>
    <row r="14" spans="1:16" ht="14.5" customHeight="1" x14ac:dyDescent="0.35">
      <c r="A14" s="55"/>
      <c r="B14" s="56" t="s">
        <v>38</v>
      </c>
      <c r="C14" s="57" t="s">
        <v>43</v>
      </c>
      <c r="D14" s="37" t="s">
        <v>33</v>
      </c>
      <c r="E14" s="67">
        <v>1363.1</v>
      </c>
      <c r="F14" s="61" t="s">
        <v>33</v>
      </c>
      <c r="G14" s="67">
        <v>1807</v>
      </c>
      <c r="H14" s="60">
        <v>5678.8</v>
      </c>
      <c r="I14" s="60">
        <v>380.1</v>
      </c>
      <c r="J14" s="60">
        <v>1305.0999999999999</v>
      </c>
      <c r="K14" s="60">
        <v>7151.1</v>
      </c>
      <c r="L14" s="60">
        <v>6460.1</v>
      </c>
      <c r="M14" s="60">
        <v>11214.1</v>
      </c>
      <c r="N14" s="37">
        <v>3447.7</v>
      </c>
      <c r="O14" s="55"/>
      <c r="P14" s="59" t="s">
        <v>33</v>
      </c>
    </row>
    <row r="15" spans="1:16" ht="112" customHeight="1" x14ac:dyDescent="0.35">
      <c r="A15" s="55"/>
      <c r="B15" s="56"/>
      <c r="C15" s="57"/>
      <c r="D15" s="37"/>
      <c r="E15" s="67"/>
      <c r="F15" s="61"/>
      <c r="G15" s="67"/>
      <c r="H15" s="60"/>
      <c r="I15" s="60"/>
      <c r="J15" s="60"/>
      <c r="K15" s="60"/>
      <c r="L15" s="60"/>
      <c r="M15" s="60"/>
      <c r="N15" s="37"/>
      <c r="O15" s="55"/>
      <c r="P15" s="59"/>
    </row>
    <row r="16" spans="1:16" ht="15" thickBot="1" x14ac:dyDescent="0.4"/>
    <row r="17" spans="1:4" s="4" customFormat="1" ht="29" customHeight="1" x14ac:dyDescent="0.35">
      <c r="A17" s="38" t="s">
        <v>37</v>
      </c>
      <c r="B17" s="39" t="s">
        <v>34</v>
      </c>
      <c r="C17" s="39" t="s">
        <v>35</v>
      </c>
      <c r="D17" s="6" t="s">
        <v>36</v>
      </c>
    </row>
    <row r="18" spans="1:4" s="4" customFormat="1" ht="15" thickBot="1" x14ac:dyDescent="0.4">
      <c r="A18" s="40"/>
      <c r="B18" s="41">
        <v>888</v>
      </c>
      <c r="C18" s="42">
        <v>0.38240000000000002</v>
      </c>
      <c r="D18" s="11">
        <v>97310.2</v>
      </c>
    </row>
  </sheetData>
  <mergeCells count="97">
    <mergeCell ref="C7:C8"/>
    <mergeCell ref="C5:C6"/>
    <mergeCell ref="A17:A18"/>
    <mergeCell ref="B3:B4"/>
    <mergeCell ref="B7:B8"/>
    <mergeCell ref="B10:B11"/>
    <mergeCell ref="P14:P15"/>
    <mergeCell ref="O14:O15"/>
    <mergeCell ref="B14:B15"/>
    <mergeCell ref="C14:C15"/>
    <mergeCell ref="B12:B13"/>
    <mergeCell ref="C12:C13"/>
    <mergeCell ref="O7:O8"/>
    <mergeCell ref="P7:P8"/>
    <mergeCell ref="I7:I8"/>
    <mergeCell ref="J7:J8"/>
    <mergeCell ref="K7:K8"/>
    <mergeCell ref="L7:L8"/>
    <mergeCell ref="M7:M8"/>
    <mergeCell ref="N7:N8"/>
    <mergeCell ref="A7:A8"/>
    <mergeCell ref="D7:D8"/>
    <mergeCell ref="E7:E8"/>
    <mergeCell ref="F7:F8"/>
    <mergeCell ref="G7:G8"/>
    <mergeCell ref="H7:H8"/>
    <mergeCell ref="K5:K6"/>
    <mergeCell ref="L5:L6"/>
    <mergeCell ref="M5:M6"/>
    <mergeCell ref="N5:N6"/>
    <mergeCell ref="O5:O6"/>
    <mergeCell ref="P5:P6"/>
    <mergeCell ref="P3:P4"/>
    <mergeCell ref="A5:A6"/>
    <mergeCell ref="B5:B6"/>
    <mergeCell ref="D5:D6"/>
    <mergeCell ref="E5:E6"/>
    <mergeCell ref="F5:F6"/>
    <mergeCell ref="G5:G6"/>
    <mergeCell ref="H5:H6"/>
    <mergeCell ref="I5:I6"/>
    <mergeCell ref="J5:J6"/>
    <mergeCell ref="J3:J4"/>
    <mergeCell ref="K3:K4"/>
    <mergeCell ref="L3:L4"/>
    <mergeCell ref="M3:M4"/>
    <mergeCell ref="N3:N4"/>
    <mergeCell ref="O3:O4"/>
    <mergeCell ref="A3:A4"/>
    <mergeCell ref="C3:C4"/>
    <mergeCell ref="D3:D4"/>
    <mergeCell ref="E3:E4"/>
    <mergeCell ref="F3:F4"/>
    <mergeCell ref="G3:G4"/>
    <mergeCell ref="H3:H4"/>
    <mergeCell ref="I3:I4"/>
    <mergeCell ref="I14:I15"/>
    <mergeCell ref="J14:J15"/>
    <mergeCell ref="K14:K15"/>
    <mergeCell ref="L14:L15"/>
    <mergeCell ref="M14:M15"/>
    <mergeCell ref="N14:N15"/>
    <mergeCell ref="A14:A15"/>
    <mergeCell ref="D14:D15"/>
    <mergeCell ref="E14:E15"/>
    <mergeCell ref="F14:F15"/>
    <mergeCell ref="G14:G15"/>
    <mergeCell ref="H14:H15"/>
    <mergeCell ref="K12:K13"/>
    <mergeCell ref="L12:L13"/>
    <mergeCell ref="M12:M13"/>
    <mergeCell ref="N12:N13"/>
    <mergeCell ref="O12:O13"/>
    <mergeCell ref="P12:P13"/>
    <mergeCell ref="O10:O11"/>
    <mergeCell ref="P10:P11"/>
    <mergeCell ref="A12:A13"/>
    <mergeCell ref="D12:D13"/>
    <mergeCell ref="E12:E13"/>
    <mergeCell ref="F12:F13"/>
    <mergeCell ref="G12:G13"/>
    <mergeCell ref="H12:H13"/>
    <mergeCell ref="I12:I13"/>
    <mergeCell ref="J12:J13"/>
    <mergeCell ref="I10:I11"/>
    <mergeCell ref="J10:J11"/>
    <mergeCell ref="K10:K11"/>
    <mergeCell ref="L10:L11"/>
    <mergeCell ref="M10:M11"/>
    <mergeCell ref="N10:N11"/>
    <mergeCell ref="A10:A11"/>
    <mergeCell ref="C10:C11"/>
    <mergeCell ref="D10:D11"/>
    <mergeCell ref="E10:E11"/>
    <mergeCell ref="F10:F11"/>
    <mergeCell ref="G10:G11"/>
    <mergeCell ref="H10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0F4A-0B91-4473-BE6B-74DA31C5B908}">
  <dimension ref="A1:C8"/>
  <sheetViews>
    <sheetView workbookViewId="0">
      <selection activeCell="B17" sqref="B17"/>
    </sheetView>
  </sheetViews>
  <sheetFormatPr defaultRowHeight="14.5" x14ac:dyDescent="0.35"/>
  <cols>
    <col min="1" max="1" width="53.36328125" style="4" customWidth="1"/>
    <col min="2" max="2" width="37.08984375" style="5" customWidth="1"/>
    <col min="3" max="3" width="35.1796875" style="4" customWidth="1"/>
  </cols>
  <sheetData>
    <row r="1" spans="1:3" ht="17.5" customHeight="1" thickBot="1" x14ac:dyDescent="0.4">
      <c r="A1" s="15" t="s">
        <v>5</v>
      </c>
      <c r="B1" s="16" t="s">
        <v>3</v>
      </c>
      <c r="C1" s="17" t="s">
        <v>9</v>
      </c>
    </row>
    <row r="2" spans="1:3" x14ac:dyDescent="0.35">
      <c r="A2" s="12" t="s">
        <v>0</v>
      </c>
      <c r="B2" s="13">
        <v>3</v>
      </c>
      <c r="C2" s="14" t="s">
        <v>10</v>
      </c>
    </row>
    <row r="3" spans="1:3" x14ac:dyDescent="0.35">
      <c r="A3" s="7" t="s">
        <v>1</v>
      </c>
      <c r="B3" s="2">
        <v>25</v>
      </c>
      <c r="C3" s="8" t="s">
        <v>12</v>
      </c>
    </row>
    <row r="4" spans="1:3" x14ac:dyDescent="0.35">
      <c r="A4" s="7" t="s">
        <v>2</v>
      </c>
      <c r="B4" s="2">
        <v>12</v>
      </c>
      <c r="C4" s="8" t="s">
        <v>13</v>
      </c>
    </row>
    <row r="5" spans="1:3" x14ac:dyDescent="0.35">
      <c r="A5" s="7" t="s">
        <v>4</v>
      </c>
      <c r="B5" s="2">
        <v>27</v>
      </c>
      <c r="C5" s="8" t="s">
        <v>11</v>
      </c>
    </row>
    <row r="6" spans="1:3" x14ac:dyDescent="0.35">
      <c r="A6" s="7" t="s">
        <v>6</v>
      </c>
      <c r="B6" s="3">
        <v>43</v>
      </c>
      <c r="C6" s="8" t="s">
        <v>14</v>
      </c>
    </row>
    <row r="7" spans="1:3" x14ac:dyDescent="0.35">
      <c r="A7" s="7" t="s">
        <v>7</v>
      </c>
      <c r="B7" s="3">
        <v>49</v>
      </c>
      <c r="C7" s="8" t="s">
        <v>15</v>
      </c>
    </row>
    <row r="8" spans="1:3" ht="15" thickBot="1" x14ac:dyDescent="0.4">
      <c r="A8" s="9" t="s">
        <v>8</v>
      </c>
      <c r="B8" s="10">
        <v>36</v>
      </c>
      <c r="C8" s="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Haney Loop Strategy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Yili</dc:creator>
  <cp:lastModifiedBy>Tang, Yili</cp:lastModifiedBy>
  <dcterms:created xsi:type="dcterms:W3CDTF">2026-02-06T17:08:42Z</dcterms:created>
  <dcterms:modified xsi:type="dcterms:W3CDTF">2026-02-10T20:18:00Z</dcterms:modified>
</cp:coreProperties>
</file>